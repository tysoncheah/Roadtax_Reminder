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 Tax Tracker" sheetId="1" r:id="rId5"/>
  </sheets>
  <definedNames/>
  <calcPr/>
</workbook>
</file>

<file path=xl/sharedStrings.xml><?xml version="1.0" encoding="utf-8"?>
<sst xmlns="http://schemas.openxmlformats.org/spreadsheetml/2006/main" count="14" uniqueCount="11">
  <si>
    <t>Road Tax Renewal Tracker</t>
  </si>
  <si>
    <t>Client Name</t>
  </si>
  <si>
    <t>Vehicle No.</t>
  </si>
  <si>
    <t>Road Tax Expiry Date</t>
  </si>
  <si>
    <t>Days Until Expiry</t>
  </si>
  <si>
    <t>Status (Done)</t>
  </si>
  <si>
    <t>tyson</t>
  </si>
  <si>
    <t>AXU6433</t>
  </si>
  <si>
    <t>WTF2733</t>
  </si>
  <si>
    <t>PXE3422</t>
  </si>
  <si>
    <t>PLS9999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</si>
</sst>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0.0"/>
      <color rgb="FF1A1B1F"/>
      <name val="Roboto"/>
    </font>
    <font>
      <b/>
      <sz val="18.0"/>
      <color rgb="FF425D90"/>
      <name val="Roboto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2">
    <dxf>
      <font>
        <strike/>
        <color rgb="FF7F7F7F"/>
      </font>
      <fill>
        <patternFill patternType="solid">
          <fgColor rgb="FFF3F3F3"/>
          <bgColor rgb="FFF3F3F3"/>
        </patternFill>
      </fill>
      <border/>
    </dxf>
    <dxf>
      <font>
        <color rgb="FFD22E2E"/>
      </font>
      <fill>
        <patternFill patternType="solid">
          <fgColor rgb="FFFBE8E6"/>
          <bgColor rgb="FFFB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6</xdr:row>
      <xdr:rowOff>0</xdr:rowOff>
    </xdr:from>
    <xdr:ext cx="1905000" cy="952500"/>
    <xdr:pic>
      <xdr:nvPicPr>
        <xdr:cNvPr id="2005013197" name="Chart1" title="Pending Renewal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6</xdr:row>
      <xdr:rowOff>0</xdr:rowOff>
    </xdr:from>
    <xdr:ext cx="1905000" cy="952500"/>
    <xdr:pic>
      <xdr:nvPicPr>
        <xdr:cNvPr id="1652402559" name="Chart2" title="Expiring &lt; 30 Day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88"/>
    <col customWidth="1" min="2" max="2" width="36.88"/>
    <col customWidth="1" min="3" max="3" width="14.25"/>
    <col customWidth="1" min="4" max="4" width="20.38"/>
    <col customWidth="1" min="5" max="5" width="17.75"/>
    <col customWidth="1" min="6" max="6" width="11.0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>
        <f>COUNTIF(F8:F100, FALSE)</f>
        <v>93</v>
      </c>
      <c r="Z1" s="1">
        <f>COUNTIFS(F8:F100, FALSE, D8:D100, "&lt;="&amp;TODAY()+30, D8:D100, "&lt;&gt;")</f>
        <v>4</v>
      </c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</v>
      </c>
      <c r="C8" s="4" t="s">
        <v>7</v>
      </c>
      <c r="D8" s="5">
        <v>46293.0</v>
      </c>
      <c r="E8" s="6">
        <f t="shared" ref="E8:E100" si="1">IF(D8="","",D8-TODAY())</f>
        <v>21</v>
      </c>
      <c r="F8" s="7" t="b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6</v>
      </c>
      <c r="C9" s="4" t="s">
        <v>8</v>
      </c>
      <c r="D9" s="5">
        <v>46295.0</v>
      </c>
      <c r="E9" s="6">
        <f t="shared" si="1"/>
        <v>23</v>
      </c>
      <c r="F9" s="7" t="b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6</v>
      </c>
      <c r="C10" s="4" t="s">
        <v>9</v>
      </c>
      <c r="D10" s="5">
        <v>46296.0</v>
      </c>
      <c r="E10" s="6">
        <f t="shared" si="1"/>
        <v>24</v>
      </c>
      <c r="F10" s="7" t="b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6</v>
      </c>
      <c r="C11" s="4" t="s">
        <v>10</v>
      </c>
      <c r="D11" s="5">
        <v>46273.0</v>
      </c>
      <c r="E11" s="6">
        <f t="shared" si="1"/>
        <v>1</v>
      </c>
      <c r="F11" s="8" t="b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9"/>
      <c r="E12" s="6" t="str">
        <f t="shared" si="1"/>
        <v/>
      </c>
      <c r="F12" s="8" t="b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9"/>
      <c r="E13" s="6" t="str">
        <f t="shared" si="1"/>
        <v/>
      </c>
      <c r="F13" s="8" t="b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9"/>
      <c r="E14" s="6" t="str">
        <f t="shared" si="1"/>
        <v/>
      </c>
      <c r="F14" s="8" t="b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9"/>
      <c r="E15" s="6" t="str">
        <f t="shared" si="1"/>
        <v/>
      </c>
      <c r="F15" s="8" t="b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9"/>
      <c r="E16" s="6" t="str">
        <f t="shared" si="1"/>
        <v/>
      </c>
      <c r="F16" s="8" t="b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9"/>
      <c r="E17" s="6" t="str">
        <f t="shared" si="1"/>
        <v/>
      </c>
      <c r="F17" s="8" t="b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9"/>
      <c r="E18" s="6" t="str">
        <f t="shared" si="1"/>
        <v/>
      </c>
      <c r="F18" s="8" t="b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9"/>
      <c r="E19" s="6" t="str">
        <f t="shared" si="1"/>
        <v/>
      </c>
      <c r="F19" s="8" t="b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9"/>
      <c r="E20" s="6" t="str">
        <f t="shared" si="1"/>
        <v/>
      </c>
      <c r="F20" s="8" t="b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9"/>
      <c r="E21" s="6" t="str">
        <f t="shared" si="1"/>
        <v/>
      </c>
      <c r="F21" s="8" t="b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9"/>
      <c r="E22" s="6" t="str">
        <f t="shared" si="1"/>
        <v/>
      </c>
      <c r="F22" s="8" t="b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9"/>
      <c r="E23" s="6" t="str">
        <f t="shared" si="1"/>
        <v/>
      </c>
      <c r="F23" s="8" t="b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9"/>
      <c r="E24" s="6" t="str">
        <f t="shared" si="1"/>
        <v/>
      </c>
      <c r="F24" s="8" t="b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9"/>
      <c r="E25" s="6" t="str">
        <f t="shared" si="1"/>
        <v/>
      </c>
      <c r="F25" s="8" t="b"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9"/>
      <c r="E26" s="6" t="str">
        <f t="shared" si="1"/>
        <v/>
      </c>
      <c r="F26" s="8" t="b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9"/>
      <c r="E27" s="6" t="str">
        <f t="shared" si="1"/>
        <v/>
      </c>
      <c r="F27" s="8" t="b"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9"/>
      <c r="E28" s="6" t="str">
        <f t="shared" si="1"/>
        <v/>
      </c>
      <c r="F28" s="8" t="b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9"/>
      <c r="E29" s="6" t="str">
        <f t="shared" si="1"/>
        <v/>
      </c>
      <c r="F29" s="8" t="b"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9"/>
      <c r="E30" s="6" t="str">
        <f t="shared" si="1"/>
        <v/>
      </c>
      <c r="F30" s="8" t="b"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9"/>
      <c r="E31" s="6" t="str">
        <f t="shared" si="1"/>
        <v/>
      </c>
      <c r="F31" s="8" t="b"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9"/>
      <c r="E32" s="6" t="str">
        <f t="shared" si="1"/>
        <v/>
      </c>
      <c r="F32" s="8" t="b"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9"/>
      <c r="E33" s="6" t="str">
        <f t="shared" si="1"/>
        <v/>
      </c>
      <c r="F33" s="8" t="b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9"/>
      <c r="E34" s="6" t="str">
        <f t="shared" si="1"/>
        <v/>
      </c>
      <c r="F34" s="8" t="b"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9"/>
      <c r="E35" s="6" t="str">
        <f t="shared" si="1"/>
        <v/>
      </c>
      <c r="F35" s="8" t="b"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9"/>
      <c r="E36" s="6" t="str">
        <f t="shared" si="1"/>
        <v/>
      </c>
      <c r="F36" s="8" t="b"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9"/>
      <c r="E37" s="6" t="str">
        <f t="shared" si="1"/>
        <v/>
      </c>
      <c r="F37" s="8" t="b"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9"/>
      <c r="E38" s="6" t="str">
        <f t="shared" si="1"/>
        <v/>
      </c>
      <c r="F38" s="8" t="b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9"/>
      <c r="E39" s="6" t="str">
        <f t="shared" si="1"/>
        <v/>
      </c>
      <c r="F39" s="8" t="b"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9"/>
      <c r="E40" s="6" t="str">
        <f t="shared" si="1"/>
        <v/>
      </c>
      <c r="F40" s="8" t="b"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9"/>
      <c r="E41" s="6" t="str">
        <f t="shared" si="1"/>
        <v/>
      </c>
      <c r="F41" s="8" t="b"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9"/>
      <c r="E42" s="6" t="str">
        <f t="shared" si="1"/>
        <v/>
      </c>
      <c r="F42" s="8" t="b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9"/>
      <c r="E43" s="6" t="str">
        <f t="shared" si="1"/>
        <v/>
      </c>
      <c r="F43" s="8" t="b"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9"/>
      <c r="E44" s="6" t="str">
        <f t="shared" si="1"/>
        <v/>
      </c>
      <c r="F44" s="8" t="b"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9"/>
      <c r="E45" s="6" t="str">
        <f t="shared" si="1"/>
        <v/>
      </c>
      <c r="F45" s="8" t="b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9"/>
      <c r="E46" s="6" t="str">
        <f t="shared" si="1"/>
        <v/>
      </c>
      <c r="F46" s="8" t="b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9"/>
      <c r="E47" s="6" t="str">
        <f t="shared" si="1"/>
        <v/>
      </c>
      <c r="F47" s="8" t="b"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9"/>
      <c r="E48" s="6" t="str">
        <f t="shared" si="1"/>
        <v/>
      </c>
      <c r="F48" s="8" t="b"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9"/>
      <c r="E49" s="6" t="str">
        <f t="shared" si="1"/>
        <v/>
      </c>
      <c r="F49" s="8" t="b"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9"/>
      <c r="E50" s="6" t="str">
        <f t="shared" si="1"/>
        <v/>
      </c>
      <c r="F50" s="8" t="b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9"/>
      <c r="E51" s="6" t="str">
        <f t="shared" si="1"/>
        <v/>
      </c>
      <c r="F51" s="8" t="b"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9"/>
      <c r="E52" s="6" t="str">
        <f t="shared" si="1"/>
        <v/>
      </c>
      <c r="F52" s="8" t="b"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9"/>
      <c r="E53" s="6" t="str">
        <f t="shared" si="1"/>
        <v/>
      </c>
      <c r="F53" s="8" t="b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9"/>
      <c r="E54" s="6" t="str">
        <f t="shared" si="1"/>
        <v/>
      </c>
      <c r="F54" s="8" t="b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9"/>
      <c r="E55" s="6" t="str">
        <f t="shared" si="1"/>
        <v/>
      </c>
      <c r="F55" s="8" t="b"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9"/>
      <c r="E56" s="6" t="str">
        <f t="shared" si="1"/>
        <v/>
      </c>
      <c r="F56" s="8" t="b"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9"/>
      <c r="E57" s="6" t="str">
        <f t="shared" si="1"/>
        <v/>
      </c>
      <c r="F57" s="8" t="b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9"/>
      <c r="E58" s="6" t="str">
        <f t="shared" si="1"/>
        <v/>
      </c>
      <c r="F58" s="8" t="b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9"/>
      <c r="E59" s="6" t="str">
        <f t="shared" si="1"/>
        <v/>
      </c>
      <c r="F59" s="8" t="b"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9"/>
      <c r="E60" s="6" t="str">
        <f t="shared" si="1"/>
        <v/>
      </c>
      <c r="F60" s="8" t="b"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9"/>
      <c r="E61" s="6" t="str">
        <f t="shared" si="1"/>
        <v/>
      </c>
      <c r="F61" s="8" t="b"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9"/>
      <c r="E62" s="6" t="str">
        <f t="shared" si="1"/>
        <v/>
      </c>
      <c r="F62" s="8" t="b"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9"/>
      <c r="E63" s="6" t="str">
        <f t="shared" si="1"/>
        <v/>
      </c>
      <c r="F63" s="8" t="b"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9"/>
      <c r="E64" s="6" t="str">
        <f t="shared" si="1"/>
        <v/>
      </c>
      <c r="F64" s="8" t="b"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9"/>
      <c r="E65" s="6" t="str">
        <f t="shared" si="1"/>
        <v/>
      </c>
      <c r="F65" s="8" t="b"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9"/>
      <c r="E66" s="6" t="str">
        <f t="shared" si="1"/>
        <v/>
      </c>
      <c r="F66" s="8" t="b"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9"/>
      <c r="E67" s="6" t="str">
        <f t="shared" si="1"/>
        <v/>
      </c>
      <c r="F67" s="8" t="b"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9"/>
      <c r="E68" s="6" t="str">
        <f t="shared" si="1"/>
        <v/>
      </c>
      <c r="F68" s="8" t="b"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9"/>
      <c r="E69" s="6" t="str">
        <f t="shared" si="1"/>
        <v/>
      </c>
      <c r="F69" s="8" t="b"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9"/>
      <c r="E70" s="6" t="str">
        <f t="shared" si="1"/>
        <v/>
      </c>
      <c r="F70" s="8" t="b"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9"/>
      <c r="E71" s="6" t="str">
        <f t="shared" si="1"/>
        <v/>
      </c>
      <c r="F71" s="8" t="b"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9"/>
      <c r="E72" s="6" t="str">
        <f t="shared" si="1"/>
        <v/>
      </c>
      <c r="F72" s="8" t="b"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9"/>
      <c r="E73" s="6" t="str">
        <f t="shared" si="1"/>
        <v/>
      </c>
      <c r="F73" s="8" t="b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9"/>
      <c r="E74" s="6" t="str">
        <f t="shared" si="1"/>
        <v/>
      </c>
      <c r="F74" s="8" t="b"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9"/>
      <c r="E75" s="6" t="str">
        <f t="shared" si="1"/>
        <v/>
      </c>
      <c r="F75" s="8" t="b"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9"/>
      <c r="E76" s="6" t="str">
        <f t="shared" si="1"/>
        <v/>
      </c>
      <c r="F76" s="8" t="b"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9"/>
      <c r="E77" s="6" t="str">
        <f t="shared" si="1"/>
        <v/>
      </c>
      <c r="F77" s="8" t="b"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9"/>
      <c r="E78" s="6" t="str">
        <f t="shared" si="1"/>
        <v/>
      </c>
      <c r="F78" s="8" t="b"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9"/>
      <c r="E79" s="6" t="str">
        <f t="shared" si="1"/>
        <v/>
      </c>
      <c r="F79" s="8" t="b"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9"/>
      <c r="E80" s="6" t="str">
        <f t="shared" si="1"/>
        <v/>
      </c>
      <c r="F80" s="8" t="b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9"/>
      <c r="E81" s="6" t="str">
        <f t="shared" si="1"/>
        <v/>
      </c>
      <c r="F81" s="8" t="b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9"/>
      <c r="E82" s="6" t="str">
        <f t="shared" si="1"/>
        <v/>
      </c>
      <c r="F82" s="8" t="b"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9"/>
      <c r="E83" s="6" t="str">
        <f t="shared" si="1"/>
        <v/>
      </c>
      <c r="F83" s="8" t="b"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9"/>
      <c r="E84" s="6" t="str">
        <f t="shared" si="1"/>
        <v/>
      </c>
      <c r="F84" s="8" t="b"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9"/>
      <c r="E85" s="6" t="str">
        <f t="shared" si="1"/>
        <v/>
      </c>
      <c r="F85" s="8" t="b"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9"/>
      <c r="E86" s="6" t="str">
        <f t="shared" si="1"/>
        <v/>
      </c>
      <c r="F86" s="8" t="b"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9"/>
      <c r="E87" s="6" t="str">
        <f t="shared" si="1"/>
        <v/>
      </c>
      <c r="F87" s="8" t="b"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9"/>
      <c r="E88" s="6" t="str">
        <f t="shared" si="1"/>
        <v/>
      </c>
      <c r="F88" s="8" t="b"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9"/>
      <c r="E89" s="6" t="str">
        <f t="shared" si="1"/>
        <v/>
      </c>
      <c r="F89" s="8" t="b">
        <v>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9"/>
      <c r="E90" s="6" t="str">
        <f t="shared" si="1"/>
        <v/>
      </c>
      <c r="F90" s="8" t="b"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9"/>
      <c r="E91" s="6" t="str">
        <f t="shared" si="1"/>
        <v/>
      </c>
      <c r="F91" s="8" t="b"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9"/>
      <c r="E92" s="6" t="str">
        <f t="shared" si="1"/>
        <v/>
      </c>
      <c r="F92" s="8" t="b"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9"/>
      <c r="E93" s="6" t="str">
        <f t="shared" si="1"/>
        <v/>
      </c>
      <c r="F93" s="8" t="b"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9"/>
      <c r="E94" s="6" t="str">
        <f t="shared" si="1"/>
        <v/>
      </c>
      <c r="F94" s="8" t="b"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9"/>
      <c r="E95" s="6" t="str">
        <f t="shared" si="1"/>
        <v/>
      </c>
      <c r="F95" s="8" t="b"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9"/>
      <c r="E96" s="6" t="str">
        <f t="shared" si="1"/>
        <v/>
      </c>
      <c r="F96" s="8" t="b"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9"/>
      <c r="E97" s="6" t="str">
        <f t="shared" si="1"/>
        <v/>
      </c>
      <c r="F97" s="8" t="b"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9"/>
      <c r="E98" s="6" t="str">
        <f t="shared" si="1"/>
        <v/>
      </c>
      <c r="F98" s="8" t="b"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9"/>
      <c r="E99" s="6" t="str">
        <f t="shared" si="1"/>
        <v/>
      </c>
      <c r="F99" s="8" t="b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9"/>
      <c r="E100" s="6" t="str">
        <f t="shared" si="1"/>
        <v/>
      </c>
      <c r="F100" s="8" t="b"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B8:F100">
    <cfRule type="expression" dxfId="0" priority="1" stopIfTrue="1">
      <formula>$F8=TRUE</formula>
    </cfRule>
  </conditionalFormatting>
  <conditionalFormatting sqref="B8:F100">
    <cfRule type="expression" dxfId="1" priority="2" stopIfTrue="1">
      <formula>AND($D8&lt;&gt;"", $D8&lt;=TODAY()+30, $F8=FALSE)</formula>
    </cfRule>
  </conditionalFormatting>
  <drawing r:id="rId1"/>
</worksheet>
</file>